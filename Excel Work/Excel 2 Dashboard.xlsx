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5ed66bfb56797ee7/Desktop/Excel Work/"/>
    </mc:Choice>
  </mc:AlternateContent>
  <xr:revisionPtr revIDLastSave="460" documentId="13_ncr:1_{4290AD4F-2212-4EE0-819D-2213EDBF8B2C}" xr6:coauthVersionLast="47" xr6:coauthVersionMax="47" xr10:uidLastSave="{7349756E-E62C-42DF-918C-5473B25279AF}"/>
  <bookViews>
    <workbookView xWindow="11424" yWindow="0" windowWidth="11712" windowHeight="12336" firstSheet="4" activeTab="5" xr2:uid="{00000000-000D-0000-FFFF-FFFF00000000}"/>
  </bookViews>
  <sheets>
    <sheet name="Pivot 1" sheetId="3" r:id="rId1"/>
    <sheet name="Pivot 2" sheetId="4" r:id="rId2"/>
    <sheet name="Pivot 3" sheetId="6" r:id="rId3"/>
    <sheet name="Pivot 4" sheetId="7" r:id="rId4"/>
    <sheet name="Production Dataset" sheetId="1" r:id="rId5"/>
    <sheet name="Dashboard" sheetId="8" r:id="rId6"/>
  </sheets>
  <definedNames>
    <definedName name="_xlnm._FilterDatabase" localSheetId="4"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<sst xmlns="http://schemas.openxmlformats.org/spreadsheetml/2006/main" count="537" uniqueCount="53">
  <si>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</si>
  <si>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</si>
  <si>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</si>
  <si>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</si>
  <si>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</si>
  <si>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</si>
  <si>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</si>
  <si>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</si>
  <si>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</si>
  <si>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</si>
  <si>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</si>
  <si>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</si>
  <si>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</si>
  <si>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</si>
  <si>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</si>
  <si>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</si>
  <si>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</si>
  <si>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</si>
  <si>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</si>
  <si>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</si>
  <si>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</si>
  <si>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</si>
  <si>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</si>
  <si>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</si>
  <si>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</si>
  <si>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</si>
  <si>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</si>
  <si>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</si>
  <si>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</si>
  <si>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</si>
  <si>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Row Labels</t>
  </si>
  <si>
    <t>Grand Total</t>
  </si>
  <si>
    <t>Sum of TotalCost</t>
  </si>
  <si>
    <t>Age Groups</t>
  </si>
  <si>
    <t>Production Cost per Unit</t>
  </si>
  <si>
    <t>Number of Tasks</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</si>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</sst>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2" x14ac:knownFonts="1">
    <font>
      <sz val="11"/>
      <color theme="1"/>
      <name val="Calibri"/>
      <family val="2"/>
      <scheme val="minor"/>
    </font>
    <font>
      <b/>
      <i/>
      <sz val="7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xf numFmtId="0" fontId="0" fillId="0" borderId="0" xfId="0" applyAlignment="1">
      <alignment horizontal="center"/>
    </xf>
    <xf numFmtId="0" fontId="1" fillId="0" borderId="0" xfId="0" applyFont="1" applyAlignment="1">
      <alignment horizontal="center"/>
    </xf>
  </cellXfs>
  <cellStyles count="1">
    <cellStyle name="Normal" xfId="0" builtinId="0"/>
  </cellStyles>
  <dxfs count="21">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1" defaultTableStyle="TableStyleMedium2" defaultPivotStyle="PivotStyleLight16">
    <tableStyle name="Invisible" pivot="0" table="0" count="0" xr9:uid="{6B0637D6-0878-489C-874E-DE89E9DB7CED}"/>
  </tableStyles>
  <colors>
    <mruColors>
      <color rgb="FFCC0099"/>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Dashboard.xlsx]Pivot 1!PivotTable4</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Production Cost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0066">
                  <a:shade val="30000"/>
                  <a:satMod val="115000"/>
                </a:srgbClr>
              </a:gs>
              <a:gs pos="50000">
                <a:srgbClr val="FF0066">
                  <a:shade val="67500"/>
                  <a:satMod val="115000"/>
                </a:srgbClr>
              </a:gs>
              <a:gs pos="100000">
                <a:srgbClr val="FF0066">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rgbClr val="FF0066">
                    <a:shade val="30000"/>
                    <a:satMod val="115000"/>
                  </a:srgbClr>
                </a:gs>
                <a:gs pos="50000">
                  <a:srgbClr val="FF0066">
                    <a:shade val="67500"/>
                    <a:satMod val="115000"/>
                  </a:srgbClr>
                </a:gs>
                <a:gs pos="100000">
                  <a:srgbClr val="FF0066">
                    <a:shade val="100000"/>
                    <a:satMod val="115000"/>
                  </a:srgbClr>
                </a:gs>
              </a:gsLst>
              <a:lin ang="162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1F31-4517-8C40-9DDD40E72BF3}"/>
            </c:ext>
          </c:extLst>
        </c:ser>
        <c:dLbls>
          <c:showLegendKey val="0"/>
          <c:showVal val="0"/>
          <c:showCatName val="0"/>
          <c:showSerName val="0"/>
          <c:showPercent val="0"/>
          <c:showBubbleSize val="0"/>
        </c:dLbls>
        <c:gapWidth val="150"/>
        <c:shape val="box"/>
        <c:axId val="920783231"/>
        <c:axId val="920780351"/>
        <c:axId val="0"/>
      </c:bar3DChart>
      <c:catAx>
        <c:axId val="920783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20780351"/>
        <c:crosses val="autoZero"/>
        <c:auto val="1"/>
        <c:lblAlgn val="ctr"/>
        <c:lblOffset val="100"/>
        <c:noMultiLvlLbl val="0"/>
      </c:catAx>
      <c:valAx>
        <c:axId val="92078035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2078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Dashboard.xlsx]Pivot 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u="sng">
                <a:solidFill>
                  <a:sysClr val="windowText" lastClr="000000"/>
                </a:solidFill>
              </a:rPr>
              <a:t>Number</a:t>
            </a:r>
            <a:r>
              <a:rPr lang="en-US" b="1" i="0" u="sng" baseline="0">
                <a:solidFill>
                  <a:sysClr val="windowText" lastClr="000000"/>
                </a:solidFill>
              </a:rPr>
              <a:t> of the Tasks by Manager</a:t>
            </a:r>
            <a:endParaRPr lang="en-US" b="1" i="0"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0066">
                  <a:shade val="30000"/>
                  <a:satMod val="115000"/>
                </a:srgbClr>
              </a:gs>
              <a:gs pos="50000">
                <a:srgbClr val="FF0066">
                  <a:shade val="67500"/>
                  <a:satMod val="115000"/>
                </a:srgbClr>
              </a:gs>
              <a:gs pos="100000">
                <a:srgbClr val="FF0066">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rgbClr val="FF0066">
                    <a:shade val="30000"/>
                    <a:satMod val="115000"/>
                  </a:srgbClr>
                </a:gs>
                <a:gs pos="50000">
                  <a:srgbClr val="FF0066">
                    <a:shade val="67500"/>
                    <a:satMod val="115000"/>
                  </a:srgbClr>
                </a:gs>
                <a:gs pos="100000">
                  <a:srgbClr val="FF0066">
                    <a:shade val="100000"/>
                    <a:satMod val="115000"/>
                  </a:srgb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1CF3-4B8F-BBDD-BAC40D10A083}"/>
            </c:ext>
          </c:extLst>
        </c:ser>
        <c:dLbls>
          <c:showLegendKey val="0"/>
          <c:showVal val="1"/>
          <c:showCatName val="0"/>
          <c:showSerName val="0"/>
          <c:showPercent val="0"/>
          <c:showBubbleSize val="0"/>
        </c:dLbls>
        <c:gapWidth val="150"/>
        <c:shape val="box"/>
        <c:axId val="954594335"/>
        <c:axId val="954599615"/>
        <c:axId val="0"/>
      </c:bar3DChart>
      <c:catAx>
        <c:axId val="9545943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54599615"/>
        <c:crosses val="autoZero"/>
        <c:auto val="1"/>
        <c:lblAlgn val="ctr"/>
        <c:lblOffset val="100"/>
        <c:noMultiLvlLbl val="0"/>
      </c:catAx>
      <c:valAx>
        <c:axId val="954599615"/>
        <c:scaling>
          <c:orientation val="minMax"/>
        </c:scaling>
        <c:delete val="1"/>
        <c:axPos val="b"/>
        <c:numFmt formatCode="General" sourceLinked="1"/>
        <c:majorTickMark val="none"/>
        <c:minorTickMark val="none"/>
        <c:tickLblPos val="nextTo"/>
        <c:crossAx val="95459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Dashboard.xlsx]Pivot 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Year/months</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6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rgbClr val="FF0066"/>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A920-4490-88F3-A633B960D9E7}"/>
            </c:ext>
          </c:extLst>
        </c:ser>
        <c:dLbls>
          <c:showLegendKey val="0"/>
          <c:showVal val="1"/>
          <c:showCatName val="0"/>
          <c:showSerName val="0"/>
          <c:showPercent val="0"/>
          <c:showBubbleSize val="0"/>
        </c:dLbls>
        <c:axId val="958426031"/>
        <c:axId val="958426511"/>
        <c:axId val="1133288127"/>
      </c:line3DChart>
      <c:catAx>
        <c:axId val="958426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58426511"/>
        <c:crosses val="autoZero"/>
        <c:auto val="1"/>
        <c:lblAlgn val="ctr"/>
        <c:lblOffset val="100"/>
        <c:noMultiLvlLbl val="0"/>
      </c:catAx>
      <c:valAx>
        <c:axId val="9584265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58426031"/>
        <c:crosses val="autoZero"/>
        <c:crossBetween val="between"/>
      </c:valAx>
      <c:serAx>
        <c:axId val="113328812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2651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Dashboard.xlsx]Pivot 4!PivotTable3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6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rgbClr val="FF000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CC0099"/>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FF0066"/>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flip="none" rotWithShape="1">
            <a:gsLst>
              <a:gs pos="0">
                <a:srgbClr val="FF0066">
                  <a:tint val="66000"/>
                  <a:satMod val="160000"/>
                </a:srgbClr>
              </a:gs>
              <a:gs pos="50000">
                <a:srgbClr val="FF0066">
                  <a:tint val="44500"/>
                  <a:satMod val="160000"/>
                </a:srgbClr>
              </a:gs>
              <a:gs pos="100000">
                <a:srgbClr val="FF0066">
                  <a:tint val="23500"/>
                  <a:satMod val="160000"/>
                </a:srgbClr>
              </a:gs>
            </a:gsLst>
            <a:path path="circle">
              <a:fillToRect l="100000" t="100000"/>
            </a:path>
            <a:tileRect r="-100000" b="-100000"/>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spPr>
            <a:solidFill>
              <a:srgbClr val="FF0066"/>
            </a:solidFill>
          </c:spPr>
          <c:dPt>
            <c:idx val="0"/>
            <c:bubble3D val="0"/>
            <c:spPr>
              <a:solidFill>
                <a:srgbClr val="FF0066"/>
              </a:solidFill>
              <a:ln w="25400">
                <a:solidFill>
                  <a:schemeClr val="lt1"/>
                </a:solidFill>
              </a:ln>
              <a:effectLst/>
              <a:sp3d contourW="25400">
                <a:contourClr>
                  <a:schemeClr val="lt1"/>
                </a:contourClr>
              </a:sp3d>
            </c:spPr>
            <c:extLst>
              <c:ext xmlns:c16="http://schemas.microsoft.com/office/drawing/2014/chart" uri="{C3380CC4-5D6E-409C-BE32-E72D297353CC}">
                <c16:uniqueId val="{00000004-9E34-48F9-B144-03D583030DD6}"/>
              </c:ext>
            </c:extLst>
          </c:dPt>
          <c:dPt>
            <c:idx val="1"/>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2-9E34-48F9-B144-03D583030DD6}"/>
              </c:ext>
            </c:extLst>
          </c:dPt>
          <c:dPt>
            <c:idx val="2"/>
            <c:bubble3D val="0"/>
            <c:spPr>
              <a:solidFill>
                <a:srgbClr val="CC0099"/>
              </a:solidFill>
              <a:ln w="25400">
                <a:solidFill>
                  <a:schemeClr val="lt1"/>
                </a:solidFill>
              </a:ln>
              <a:effectLst/>
              <a:sp3d contourW="25400">
                <a:contourClr>
                  <a:schemeClr val="lt1"/>
                </a:contourClr>
              </a:sp3d>
            </c:spPr>
            <c:extLst>
              <c:ext xmlns:c16="http://schemas.microsoft.com/office/drawing/2014/chart" uri="{C3380CC4-5D6E-409C-BE32-E72D297353CC}">
                <c16:uniqueId val="{00000003-9E34-48F9-B144-03D583030DD6}"/>
              </c:ext>
            </c:extLst>
          </c:dPt>
          <c:dPt>
            <c:idx val="3"/>
            <c:bubble3D val="0"/>
            <c:spPr>
              <a:gradFill flip="none" rotWithShape="1">
                <a:gsLst>
                  <a:gs pos="0">
                    <a:srgbClr val="FF0066">
                      <a:tint val="66000"/>
                      <a:satMod val="160000"/>
                    </a:srgbClr>
                  </a:gs>
                  <a:gs pos="50000">
                    <a:srgbClr val="FF0066">
                      <a:tint val="44500"/>
                      <a:satMod val="160000"/>
                    </a:srgbClr>
                  </a:gs>
                  <a:gs pos="100000">
                    <a:srgbClr val="FF0066">
                      <a:tint val="23500"/>
                      <a:satMod val="160000"/>
                    </a:srgbClr>
                  </a:gs>
                </a:gsLst>
                <a:path path="circle">
                  <a:fillToRect l="100000" t="100000"/>
                </a:path>
                <a:tileRect r="-100000" b="-100000"/>
              </a:gradFill>
              <a:ln w="25400">
                <a:solidFill>
                  <a:schemeClr val="lt1"/>
                </a:solidFill>
              </a:ln>
              <a:effectLst/>
              <a:sp3d contourW="25400">
                <a:contourClr>
                  <a:schemeClr val="lt1"/>
                </a:contourClr>
              </a:sp3d>
            </c:spPr>
            <c:extLst>
              <c:ext xmlns:c16="http://schemas.microsoft.com/office/drawing/2014/chart" uri="{C3380CC4-5D6E-409C-BE32-E72D297353CC}">
                <c16:uniqueId val="{00000005-9E34-48F9-B144-03D583030DD6}"/>
              </c:ext>
            </c:extLst>
          </c:dPt>
          <c:dLbls>
            <c:dLbl>
              <c:idx val="0"/>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34-48F9-B144-03D583030DD6}"/>
                </c:ext>
              </c:extLst>
            </c:dLbl>
            <c:dLbl>
              <c:idx val="1"/>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34-48F9-B144-03D583030DD6}"/>
                </c:ext>
              </c:extLst>
            </c:dLbl>
            <c:dLbl>
              <c:idx val="2"/>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34-48F9-B144-03D583030DD6}"/>
                </c:ext>
              </c:extLst>
            </c:dLbl>
            <c:dLbl>
              <c:idx val="3"/>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34-48F9-B144-03D583030D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9E34-48F9-B144-03D583030DD6}"/>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Dashboard.xlsx]Pivot 1!PivotTable4</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Production Cost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0066">
                  <a:shade val="30000"/>
                  <a:satMod val="115000"/>
                </a:srgbClr>
              </a:gs>
              <a:gs pos="50000">
                <a:srgbClr val="FF0066">
                  <a:shade val="67500"/>
                  <a:satMod val="115000"/>
                </a:srgbClr>
              </a:gs>
              <a:gs pos="100000">
                <a:srgbClr val="FF0066">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0066">
                  <a:shade val="30000"/>
                  <a:satMod val="115000"/>
                </a:srgbClr>
              </a:gs>
              <a:gs pos="50000">
                <a:srgbClr val="FF0066">
                  <a:shade val="67500"/>
                  <a:satMod val="115000"/>
                </a:srgbClr>
              </a:gs>
              <a:gs pos="100000">
                <a:srgbClr val="FF0066">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0066">
                  <a:shade val="30000"/>
                  <a:satMod val="115000"/>
                </a:srgbClr>
              </a:gs>
              <a:gs pos="50000">
                <a:srgbClr val="FF0066">
                  <a:shade val="67500"/>
                  <a:satMod val="115000"/>
                </a:srgbClr>
              </a:gs>
              <a:gs pos="100000">
                <a:srgbClr val="FF0066">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rgbClr val="FF0066">
                    <a:shade val="30000"/>
                    <a:satMod val="115000"/>
                  </a:srgbClr>
                </a:gs>
                <a:gs pos="50000">
                  <a:srgbClr val="FF0066">
                    <a:shade val="67500"/>
                    <a:satMod val="115000"/>
                  </a:srgbClr>
                </a:gs>
                <a:gs pos="100000">
                  <a:srgbClr val="FF0066">
                    <a:shade val="100000"/>
                    <a:satMod val="115000"/>
                  </a:srgbClr>
                </a:gs>
              </a:gsLst>
              <a:lin ang="162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D6C2-4C0E-B2CD-084DF0EE5944}"/>
            </c:ext>
          </c:extLst>
        </c:ser>
        <c:dLbls>
          <c:showLegendKey val="0"/>
          <c:showVal val="0"/>
          <c:showCatName val="0"/>
          <c:showSerName val="0"/>
          <c:showPercent val="0"/>
          <c:showBubbleSize val="0"/>
        </c:dLbls>
        <c:gapWidth val="150"/>
        <c:shape val="box"/>
        <c:axId val="920783231"/>
        <c:axId val="920780351"/>
        <c:axId val="0"/>
      </c:bar3DChart>
      <c:catAx>
        <c:axId val="920783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20780351"/>
        <c:crosses val="autoZero"/>
        <c:auto val="1"/>
        <c:lblAlgn val="ctr"/>
        <c:lblOffset val="100"/>
        <c:noMultiLvlLbl val="0"/>
      </c:catAx>
      <c:valAx>
        <c:axId val="92078035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2078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Dashboard.xlsx]Pivot 2!PivotTable1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u="sng">
                <a:solidFill>
                  <a:sysClr val="windowText" lastClr="000000"/>
                </a:solidFill>
              </a:rPr>
              <a:t>Number</a:t>
            </a:r>
            <a:r>
              <a:rPr lang="en-US" b="1" i="0" u="sng" baseline="0">
                <a:solidFill>
                  <a:sysClr val="windowText" lastClr="000000"/>
                </a:solidFill>
              </a:rPr>
              <a:t> of the Tasks by Manager</a:t>
            </a:r>
            <a:endParaRPr lang="en-US" b="1" i="0"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0066">
                  <a:shade val="30000"/>
                  <a:satMod val="115000"/>
                </a:srgbClr>
              </a:gs>
              <a:gs pos="50000">
                <a:srgbClr val="FF0066">
                  <a:shade val="67500"/>
                  <a:satMod val="115000"/>
                </a:srgbClr>
              </a:gs>
              <a:gs pos="100000">
                <a:srgbClr val="FF0066">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0066">
                  <a:shade val="30000"/>
                  <a:satMod val="115000"/>
                </a:srgbClr>
              </a:gs>
              <a:gs pos="50000">
                <a:srgbClr val="FF0066">
                  <a:shade val="67500"/>
                  <a:satMod val="115000"/>
                </a:srgbClr>
              </a:gs>
              <a:gs pos="100000">
                <a:srgbClr val="FF0066">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0066">
                  <a:shade val="30000"/>
                  <a:satMod val="115000"/>
                </a:srgbClr>
              </a:gs>
              <a:gs pos="50000">
                <a:srgbClr val="FF0066">
                  <a:shade val="67500"/>
                  <a:satMod val="115000"/>
                </a:srgbClr>
              </a:gs>
              <a:gs pos="100000">
                <a:srgbClr val="FF0066">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rgbClr val="FF0066">
                    <a:shade val="30000"/>
                    <a:satMod val="115000"/>
                  </a:srgbClr>
                </a:gs>
                <a:gs pos="50000">
                  <a:srgbClr val="FF0066">
                    <a:shade val="67500"/>
                    <a:satMod val="115000"/>
                  </a:srgbClr>
                </a:gs>
                <a:gs pos="100000">
                  <a:srgbClr val="FF0066">
                    <a:shade val="100000"/>
                    <a:satMod val="115000"/>
                  </a:srgb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E949-4BD0-AF01-6BC8F022AF24}"/>
            </c:ext>
          </c:extLst>
        </c:ser>
        <c:dLbls>
          <c:showLegendKey val="0"/>
          <c:showVal val="1"/>
          <c:showCatName val="0"/>
          <c:showSerName val="0"/>
          <c:showPercent val="0"/>
          <c:showBubbleSize val="0"/>
        </c:dLbls>
        <c:gapWidth val="150"/>
        <c:shape val="box"/>
        <c:axId val="954594335"/>
        <c:axId val="954599615"/>
        <c:axId val="0"/>
      </c:bar3DChart>
      <c:catAx>
        <c:axId val="9545943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54599615"/>
        <c:crosses val="autoZero"/>
        <c:auto val="1"/>
        <c:lblAlgn val="ctr"/>
        <c:lblOffset val="100"/>
        <c:noMultiLvlLbl val="0"/>
      </c:catAx>
      <c:valAx>
        <c:axId val="954599615"/>
        <c:scaling>
          <c:orientation val="minMax"/>
        </c:scaling>
        <c:delete val="1"/>
        <c:axPos val="b"/>
        <c:numFmt formatCode="General" sourceLinked="1"/>
        <c:majorTickMark val="none"/>
        <c:minorTickMark val="none"/>
        <c:tickLblPos val="nextTo"/>
        <c:crossAx val="95459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Dashboard.xlsx]Pivot 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Year/months</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6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6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rgbClr val="FF0066"/>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4E74-423C-A08B-2DCE5D0C8C41}"/>
            </c:ext>
          </c:extLst>
        </c:ser>
        <c:dLbls>
          <c:showLegendKey val="0"/>
          <c:showVal val="1"/>
          <c:showCatName val="0"/>
          <c:showSerName val="0"/>
          <c:showPercent val="0"/>
          <c:showBubbleSize val="0"/>
        </c:dLbls>
        <c:axId val="958426031"/>
        <c:axId val="958426511"/>
        <c:axId val="1133288127"/>
      </c:line3DChart>
      <c:catAx>
        <c:axId val="958426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58426511"/>
        <c:crosses val="autoZero"/>
        <c:auto val="1"/>
        <c:lblAlgn val="ctr"/>
        <c:lblOffset val="100"/>
        <c:noMultiLvlLbl val="0"/>
      </c:catAx>
      <c:valAx>
        <c:axId val="9584265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58426031"/>
        <c:crosses val="autoZero"/>
        <c:crossBetween val="between"/>
      </c:valAx>
      <c:serAx>
        <c:axId val="113328812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2651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 Dashboard.xlsx]Pivot 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6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rgbClr val="FF000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CC0099"/>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FF0066"/>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flip="none" rotWithShape="1">
            <a:gsLst>
              <a:gs pos="0">
                <a:srgbClr val="FF0066">
                  <a:tint val="66000"/>
                  <a:satMod val="160000"/>
                </a:srgbClr>
              </a:gs>
              <a:gs pos="50000">
                <a:srgbClr val="FF0066">
                  <a:tint val="44500"/>
                  <a:satMod val="160000"/>
                </a:srgbClr>
              </a:gs>
              <a:gs pos="100000">
                <a:srgbClr val="FF0066">
                  <a:tint val="23500"/>
                  <a:satMod val="160000"/>
                </a:srgbClr>
              </a:gs>
            </a:gsLst>
            <a:path path="circle">
              <a:fillToRect l="100000" t="100000"/>
            </a:path>
            <a:tileRect r="-100000" b="-100000"/>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FF006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6"/>
        <c:spPr>
          <a:solidFill>
            <a:srgbClr val="FF0066"/>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FF000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CC0099"/>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flip="none" rotWithShape="1">
            <a:gsLst>
              <a:gs pos="0">
                <a:srgbClr val="FF0066">
                  <a:tint val="66000"/>
                  <a:satMod val="160000"/>
                </a:srgbClr>
              </a:gs>
              <a:gs pos="50000">
                <a:srgbClr val="FF0066">
                  <a:tint val="44500"/>
                  <a:satMod val="160000"/>
                </a:srgbClr>
              </a:gs>
              <a:gs pos="100000">
                <a:srgbClr val="FF0066">
                  <a:tint val="23500"/>
                  <a:satMod val="160000"/>
                </a:srgbClr>
              </a:gs>
            </a:gsLst>
            <a:path path="circle">
              <a:fillToRect l="100000" t="100000"/>
            </a:path>
            <a:tileRect r="-100000" b="-100000"/>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FF006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1"/>
        <c:spPr>
          <a:solidFill>
            <a:srgbClr val="FF0066"/>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FF000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CC0099"/>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flip="none" rotWithShape="1">
            <a:gsLst>
              <a:gs pos="0">
                <a:srgbClr val="FF0066">
                  <a:tint val="66000"/>
                  <a:satMod val="160000"/>
                </a:srgbClr>
              </a:gs>
              <a:gs pos="50000">
                <a:srgbClr val="FF0066">
                  <a:tint val="44500"/>
                  <a:satMod val="160000"/>
                </a:srgbClr>
              </a:gs>
              <a:gs pos="100000">
                <a:srgbClr val="FF0066">
                  <a:tint val="23500"/>
                  <a:satMod val="160000"/>
                </a:srgbClr>
              </a:gs>
            </a:gsLst>
            <a:path path="circle">
              <a:fillToRect l="100000" t="100000"/>
            </a:path>
            <a:tileRect r="-100000" b="-100000"/>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spPr>
            <a:solidFill>
              <a:srgbClr val="FF0066"/>
            </a:solidFill>
          </c:spPr>
          <c:dPt>
            <c:idx val="0"/>
            <c:bubble3D val="0"/>
            <c:spPr>
              <a:solidFill>
                <a:srgbClr val="FF0066"/>
              </a:solidFill>
              <a:ln w="25400">
                <a:solidFill>
                  <a:schemeClr val="lt1"/>
                </a:solidFill>
              </a:ln>
              <a:effectLst/>
              <a:sp3d contourW="25400">
                <a:contourClr>
                  <a:schemeClr val="lt1"/>
                </a:contourClr>
              </a:sp3d>
            </c:spPr>
            <c:extLst>
              <c:ext xmlns:c16="http://schemas.microsoft.com/office/drawing/2014/chart" uri="{C3380CC4-5D6E-409C-BE32-E72D297353CC}">
                <c16:uniqueId val="{00000001-0AF4-4707-ABB8-E35B00298187}"/>
              </c:ext>
            </c:extLst>
          </c:dPt>
          <c:dPt>
            <c:idx val="1"/>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0AF4-4707-ABB8-E35B00298187}"/>
              </c:ext>
            </c:extLst>
          </c:dPt>
          <c:dPt>
            <c:idx val="2"/>
            <c:bubble3D val="0"/>
            <c:spPr>
              <a:solidFill>
                <a:srgbClr val="CC00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0AF4-4707-ABB8-E35B00298187}"/>
              </c:ext>
            </c:extLst>
          </c:dPt>
          <c:dPt>
            <c:idx val="3"/>
            <c:bubble3D val="0"/>
            <c:spPr>
              <a:gradFill flip="none" rotWithShape="1">
                <a:gsLst>
                  <a:gs pos="0">
                    <a:srgbClr val="FF0066">
                      <a:tint val="66000"/>
                      <a:satMod val="160000"/>
                    </a:srgbClr>
                  </a:gs>
                  <a:gs pos="50000">
                    <a:srgbClr val="FF0066">
                      <a:tint val="44500"/>
                      <a:satMod val="160000"/>
                    </a:srgbClr>
                  </a:gs>
                  <a:gs pos="100000">
                    <a:srgbClr val="FF0066">
                      <a:tint val="23500"/>
                      <a:satMod val="160000"/>
                    </a:srgbClr>
                  </a:gs>
                </a:gsLst>
                <a:path path="circle">
                  <a:fillToRect l="100000" t="100000"/>
                </a:path>
                <a:tileRect r="-100000" b="-100000"/>
              </a:gradFill>
              <a:ln w="25400">
                <a:solidFill>
                  <a:schemeClr val="lt1"/>
                </a:solidFill>
              </a:ln>
              <a:effectLst/>
              <a:sp3d contourW="25400">
                <a:contourClr>
                  <a:schemeClr val="lt1"/>
                </a:contourClr>
              </a:sp3d>
            </c:spPr>
            <c:extLst>
              <c:ext xmlns:c16="http://schemas.microsoft.com/office/drawing/2014/chart" uri="{C3380CC4-5D6E-409C-BE32-E72D297353CC}">
                <c16:uniqueId val="{00000007-0AF4-4707-ABB8-E35B00298187}"/>
              </c:ext>
            </c:extLst>
          </c:dPt>
          <c:dLbls>
            <c:dLbl>
              <c:idx val="0"/>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F4-4707-ABB8-E35B00298187}"/>
                </c:ext>
              </c:extLst>
            </c:dLbl>
            <c:dLbl>
              <c:idx val="1"/>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F4-4707-ABB8-E35B00298187}"/>
                </c:ext>
              </c:extLst>
            </c:dLbl>
            <c:dLbl>
              <c:idx val="2"/>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F4-4707-ABB8-E35B00298187}"/>
                </c:ext>
              </c:extLst>
            </c:dLbl>
            <c:dLbl>
              <c:idx val="3"/>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F4-4707-ABB8-E35B0029818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0AF4-4707-ABB8-E35B00298187}"/>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53346</xdr:colOff>
      <xdr:row>1</xdr:row>
      <xdr:rowOff>179070</xdr:rowOff>
    </xdr:from>
    <xdr:to>
      <xdr:col>9</xdr:col>
      <xdr:colOff>358146</xdr:colOff>
      <xdr:row>16</xdr:row>
      <xdr:rowOff>179070</xdr:rowOff>
    </xdr:to>
    <xdr:graphicFrame macro="">
      <xdr:nvGraphicFramePr>
        <xdr:cNvPr id="2" name="Chart 1">
          <a:extLst>
            <a:ext uri="{FF2B5EF4-FFF2-40B4-BE49-F238E27FC236}">
              <a16:creationId xmlns:a16="http://schemas.microsoft.com/office/drawing/2014/main" id="{4439F702-3477-126E-0A0D-914E2D4FB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129546</xdr:colOff>
      <xdr:row>2</xdr:row>
      <xdr:rowOff>11430</xdr:rowOff>
    </xdr:from>
    <xdr:to>
      <xdr:col>9</xdr:col>
      <xdr:colOff>434346</xdr:colOff>
      <xdr:row>17</xdr:row>
      <xdr:rowOff>11430</xdr:rowOff>
    </xdr:to>
    <xdr:graphicFrame macro="">
      <xdr:nvGraphicFramePr>
        <xdr:cNvPr id="2" name="Chart 1">
          <a:extLst>
            <a:ext uri="{FF2B5EF4-FFF2-40B4-BE49-F238E27FC236}">
              <a16:creationId xmlns:a16="http://schemas.microsoft.com/office/drawing/2014/main" id="{D30010BB-AD4E-63F4-56E7-9C992EFD2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99066</xdr:colOff>
      <xdr:row>1</xdr:row>
      <xdr:rowOff>171450</xdr:rowOff>
    </xdr:from>
    <xdr:to>
      <xdr:col>9</xdr:col>
      <xdr:colOff>403866</xdr:colOff>
      <xdr:row>16</xdr:row>
      <xdr:rowOff>171450</xdr:rowOff>
    </xdr:to>
    <xdr:graphicFrame macro="">
      <xdr:nvGraphicFramePr>
        <xdr:cNvPr id="2" name="Chart 1">
          <a:extLst>
            <a:ext uri="{FF2B5EF4-FFF2-40B4-BE49-F238E27FC236}">
              <a16:creationId xmlns:a16="http://schemas.microsoft.com/office/drawing/2014/main" id="{668BB82E-6DA6-C634-F5D5-1C94152DE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91446</xdr:colOff>
      <xdr:row>1</xdr:row>
      <xdr:rowOff>152400</xdr:rowOff>
    </xdr:from>
    <xdr:to>
      <xdr:col>10</xdr:col>
      <xdr:colOff>266700</xdr:colOff>
      <xdr:row>18</xdr:row>
      <xdr:rowOff>121920</xdr:rowOff>
    </xdr:to>
    <xdr:graphicFrame macro="">
      <xdr:nvGraphicFramePr>
        <xdr:cNvPr id="2" name="Chart 1">
          <a:extLst>
            <a:ext uri="{FF2B5EF4-FFF2-40B4-BE49-F238E27FC236}">
              <a16:creationId xmlns:a16="http://schemas.microsoft.com/office/drawing/2014/main" id="{625ED1B0-66AC-7B54-CB78-CBC85C9111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578556</xdr:colOff>
      <xdr:row>18</xdr:row>
      <xdr:rowOff>169333</xdr:rowOff>
    </xdr:from>
    <xdr:to>
      <xdr:col>8</xdr:col>
      <xdr:colOff>276578</xdr:colOff>
      <xdr:row>33</xdr:row>
      <xdr:rowOff>169333</xdr:rowOff>
    </xdr:to>
    <xdr:graphicFrame macro="">
      <xdr:nvGraphicFramePr>
        <xdr:cNvPr id="2" name="Chart 1">
          <a:extLst>
            <a:ext uri="{FF2B5EF4-FFF2-40B4-BE49-F238E27FC236}">
              <a16:creationId xmlns:a16="http://schemas.microsoft.com/office/drawing/2014/main" id="{39CE6EC0-E995-49B2-9F8F-C15D5F4CF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18</xdr:row>
      <xdr:rowOff>169333</xdr:rowOff>
    </xdr:from>
    <xdr:to>
      <xdr:col>16</xdr:col>
      <xdr:colOff>304800</xdr:colOff>
      <xdr:row>33</xdr:row>
      <xdr:rowOff>169333</xdr:rowOff>
    </xdr:to>
    <xdr:graphicFrame macro="">
      <xdr:nvGraphicFramePr>
        <xdr:cNvPr id="3" name="Chart 2">
          <a:extLst>
            <a:ext uri="{FF2B5EF4-FFF2-40B4-BE49-F238E27FC236}">
              <a16:creationId xmlns:a16="http://schemas.microsoft.com/office/drawing/2014/main" id="{155CD078-5D6A-40C8-93C0-8BEEDEE66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578556</xdr:colOff>
      <xdr:row>35</xdr:row>
      <xdr:rowOff>28222</xdr:rowOff>
    </xdr:from>
    <xdr:to>
      <xdr:col>8</xdr:col>
      <xdr:colOff>276578</xdr:colOff>
      <xdr:row>50</xdr:row>
      <xdr:rowOff>28222</xdr:rowOff>
    </xdr:to>
    <xdr:graphicFrame macro="">
      <xdr:nvGraphicFramePr>
        <xdr:cNvPr id="4" name="Chart 3">
          <a:extLst>
            <a:ext uri="{FF2B5EF4-FFF2-40B4-BE49-F238E27FC236}">
              <a16:creationId xmlns:a16="http://schemas.microsoft.com/office/drawing/2014/main" id="{13D80E95-DCA4-4778-8120-1E4A5C91C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14111</xdr:colOff>
      <xdr:row>35</xdr:row>
      <xdr:rowOff>14110</xdr:rowOff>
    </xdr:from>
    <xdr:to>
      <xdr:col>16</xdr:col>
      <xdr:colOff>395111</xdr:colOff>
      <xdr:row>49</xdr:row>
      <xdr:rowOff>180188</xdr:rowOff>
    </xdr:to>
    <xdr:graphicFrame macro="">
      <xdr:nvGraphicFramePr>
        <xdr:cNvPr id="5" name="Chart 4">
          <a:extLst>
            <a:ext uri="{FF2B5EF4-FFF2-40B4-BE49-F238E27FC236}">
              <a16:creationId xmlns:a16="http://schemas.microsoft.com/office/drawing/2014/main" id="{AD31FB67-77F6-4166-9AB1-CE70AA2E2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605649</xdr:colOff>
      <xdr:row>6</xdr:row>
      <xdr:rowOff>144780</xdr:rowOff>
    </xdr:from>
    <xdr:to>
      <xdr:col>4</xdr:col>
      <xdr:colOff>451556</xdr:colOff>
      <xdr:row>18</xdr:row>
      <xdr:rowOff>84666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8BF86C7-FEB8-1142-D919-395B33AC5E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5649" y="1233351"/>
              <a:ext cx="2313336" cy="2117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605932</xdr:colOff>
      <xdr:row>6</xdr:row>
      <xdr:rowOff>127000</xdr:rowOff>
    </xdr:from>
    <xdr:to>
      <xdr:col>8</xdr:col>
      <xdr:colOff>239889</xdr:colOff>
      <xdr:row>18</xdr:row>
      <xdr:rowOff>70557</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1897694F-3A6C-42A4-646E-89036CDA207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073361" y="1215571"/>
              <a:ext cx="2101385" cy="212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41770</xdr:colOff>
      <xdr:row>6</xdr:row>
      <xdr:rowOff>141110</xdr:rowOff>
    </xdr:from>
    <xdr:to>
      <xdr:col>12</xdr:col>
      <xdr:colOff>268111</xdr:colOff>
      <xdr:row>18</xdr:row>
      <xdr:rowOff>127000</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9F067783-B128-9984-0BF2-158BB57A3870}"/>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5593484" y="1229681"/>
              <a:ext cx="2076913" cy="2163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352496</xdr:colOff>
      <xdr:row>6</xdr:row>
      <xdr:rowOff>117404</xdr:rowOff>
    </xdr:from>
    <xdr:to>
      <xdr:col>16</xdr:col>
      <xdr:colOff>239889</xdr:colOff>
      <xdr:row>18</xdr:row>
      <xdr:rowOff>70556</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3F0ADB49-23A8-35AF-59C0-1F0C33A34FA9}"/>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7754782" y="1205975"/>
              <a:ext cx="2354821" cy="2130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7.898580324072" createdVersion="8" refreshedVersion="8" minRefreshableVersion="3" recordCount="120" xr:uid="{CC2F11E0-EEC5-4642-8361-1E434FB2C997}">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840640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027509-BC4C-43B0-A0A0-F78685B4761A}"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20">
      <pivotArea outline="0" collapsedLevelsAreSubtotals="1" fieldPosition="0"/>
    </format>
  </formats>
  <chartFormats count="2">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485D10-468B-4093-A60A-BF6975B0BBA7}"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BE8134-5C11-4B54-BA0C-A852400A587C}"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7D51AE-8269-4845-BD9D-04C985AF589D}"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1"/>
          </reference>
        </references>
      </pivotArea>
    </chartFormat>
    <chartFormat chart="1" format="2">
      <pivotArea type="data" outline="0" fieldPosition="0">
        <references count="2">
          <reference field="4294967294" count="1" selected="0">
            <x v="0"/>
          </reference>
          <reference field="4" count="1" selected="0">
            <x v="2"/>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D17A1D-E828-4A2F-9634-8D803328C8EA}" sourceName="Region">
  <pivotTables>
    <pivotTable tabId="4" name="PivotTable1"/>
    <pivotTable tabId="3" name="PivotTable4"/>
    <pivotTable tabId="6" name="PivotTable2"/>
    <pivotTable tabId="7" name="PivotTable3"/>
  </pivotTables>
  <data>
    <tabular pivotCacheId="1840640426">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1A55A5-71C7-4180-B4F9-BFBA81E9FFDF}" sourceName="Gender">
  <pivotTables>
    <pivotTable tabId="4" name="PivotTable1"/>
    <pivotTable tabId="3" name="PivotTable4"/>
    <pivotTable tabId="6" name="PivotTable2"/>
    <pivotTable tabId="7" name="PivotTable3"/>
  </pivotTables>
  <data>
    <tabular pivotCacheId="184064042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44E4D72D-D6B8-461B-8AE7-D15C1D5FE055}" sourceName="Age Groups">
  <pivotTables>
    <pivotTable tabId="4" name="PivotTable1"/>
    <pivotTable tabId="3" name="PivotTable4"/>
    <pivotTable tabId="6" name="PivotTable2"/>
    <pivotTable tabId="7" name="PivotTable3"/>
  </pivotTables>
  <data>
    <tabular pivotCacheId="184064042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5C2DFB33-E025-4AB0-8421-16D387CD777B}" sourceName="Quarters (ProductionDate)">
  <pivotTables>
    <pivotTable tabId="4" name="PivotTable1"/>
    <pivotTable tabId="3" name="PivotTable4"/>
    <pivotTable tabId="6" name="PivotTable2"/>
    <pivotTable tabId="7" name="PivotTable3"/>
  </pivotTables>
  <data>
    <tabular pivotCacheId="1840640426">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051A2BF-E27B-456A-8E67-D5B2513F8904}" cache="Slicer_Region" caption="Region" rowHeight="234950"/>
  <slicer name="Gender" xr10:uid="{04AF5994-FDBE-48F7-A251-2566E1A7FA8B}" cache="Slicer_Gender" caption="Gender" rowHeight="234950"/>
  <slicer name="Age Groups" xr10:uid="{C0C84BEC-C71F-4BFB-A8C2-74E3F4BDE445}" cache="Slicer_Age_Groups" caption="Age Groups" rowHeight="234950"/>
  <slicer name="Quarters (ProductionDate)" xr10:uid="{7F07DEAC-F833-4868-9DF8-42E96E397387}"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80E5B-6B64-47D1-AB4C-EC4727C347FC}">
  <dimension ref="A3:B8"/>
  <sheetViews>
    <sheetView workbookViewId="0">
      <selection activeCell="C18" sqref="C18"/>
    </sheetView>
  </sheetViews>
  <sheetFormatPr defaultRowHeight="14.4" x14ac:dyDescent="0.3"/>
  <cols>
    <col min="1" max="1" width="12.5546875" bestFit="1" customWidth="1"/>
    <col min="2" max="2" width="15.44140625" bestFit="1" customWidth="1"/>
  </cols>
  <sheetData>
    <row r="3" spans="1:2" x14ac:dyDescent="0.3">
      <c r="A3" s="3" t="s">
        <v>30</v>
      </c>
      <c r="B3" t="s">
        <v>32</v>
      </c>
    </row>
    <row r="4" spans="1:2" x14ac:dyDescent="0.3">
      <c r="A4" s="4" t="s">
        <v>10</v>
      </c>
      <c r="B4" s="5">
        <v>1152805</v>
      </c>
    </row>
    <row r="5" spans="1:2" x14ac:dyDescent="0.3">
      <c r="A5" s="4" t="s">
        <v>23</v>
      </c>
      <c r="B5" s="5">
        <v>604575</v>
      </c>
    </row>
    <row r="6" spans="1:2" x14ac:dyDescent="0.3">
      <c r="A6" s="4" t="s">
        <v>14</v>
      </c>
      <c r="B6" s="5">
        <v>703282</v>
      </c>
    </row>
    <row r="7" spans="1:2" x14ac:dyDescent="0.3">
      <c r="A7" s="4" t="s">
        <v>17</v>
      </c>
      <c r="B7" s="5">
        <v>910416</v>
      </c>
    </row>
    <row r="8" spans="1:2" x14ac:dyDescent="0.3">
      <c r="A8" s="4" t="s">
        <v>31</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C503E-92BF-4045-998D-BB2E023344AB}">
  <dimension ref="A3:B14"/>
  <sheetViews>
    <sheetView workbookViewId="0">
      <selection activeCell="H23" sqref="H23"/>
    </sheetView>
  </sheetViews>
  <sheetFormatPr defaultRowHeight="14.4" x14ac:dyDescent="0.3"/>
  <cols>
    <col min="1" max="1" width="12.5546875" bestFit="1" customWidth="1"/>
    <col min="2" max="2" width="15.21875" bestFit="1" customWidth="1"/>
  </cols>
  <sheetData>
    <row r="3" spans="1:2" x14ac:dyDescent="0.3">
      <c r="A3" s="3" t="s">
        <v>30</v>
      </c>
      <c r="B3" t="s">
        <v>35</v>
      </c>
    </row>
    <row r="4" spans="1:2" x14ac:dyDescent="0.3">
      <c r="A4" s="4" t="s">
        <v>24</v>
      </c>
      <c r="B4" s="6">
        <v>37</v>
      </c>
    </row>
    <row r="5" spans="1:2" x14ac:dyDescent="0.3">
      <c r="A5" s="4" t="s">
        <v>20</v>
      </c>
      <c r="B5" s="6">
        <v>18</v>
      </c>
    </row>
    <row r="6" spans="1:2" x14ac:dyDescent="0.3">
      <c r="A6" s="4" t="s">
        <v>9</v>
      </c>
      <c r="B6" s="6">
        <v>13</v>
      </c>
    </row>
    <row r="7" spans="1:2" x14ac:dyDescent="0.3">
      <c r="A7" s="4" t="s">
        <v>19</v>
      </c>
      <c r="B7" s="6">
        <v>11</v>
      </c>
    </row>
    <row r="8" spans="1:2" x14ac:dyDescent="0.3">
      <c r="A8" s="4" t="s">
        <v>21</v>
      </c>
      <c r="B8" s="6">
        <v>10</v>
      </c>
    </row>
    <row r="9" spans="1:2" x14ac:dyDescent="0.3">
      <c r="A9" s="4" t="s">
        <v>13</v>
      </c>
      <c r="B9" s="6">
        <v>8</v>
      </c>
    </row>
    <row r="10" spans="1:2" x14ac:dyDescent="0.3">
      <c r="A10" s="4" t="s">
        <v>25</v>
      </c>
      <c r="B10" s="6">
        <v>6</v>
      </c>
    </row>
    <row r="11" spans="1:2" x14ac:dyDescent="0.3">
      <c r="A11" s="4" t="s">
        <v>26</v>
      </c>
      <c r="B11" s="6">
        <v>6</v>
      </c>
    </row>
    <row r="12" spans="1:2" x14ac:dyDescent="0.3">
      <c r="A12" s="4" t="s">
        <v>22</v>
      </c>
      <c r="B12" s="6">
        <v>6</v>
      </c>
    </row>
    <row r="13" spans="1:2" x14ac:dyDescent="0.3">
      <c r="A13" s="4" t="s">
        <v>16</v>
      </c>
      <c r="B13" s="6">
        <v>5</v>
      </c>
    </row>
    <row r="14" spans="1:2" x14ac:dyDescent="0.3">
      <c r="A14" s="4" t="s">
        <v>31</v>
      </c>
      <c r="B14" s="6">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62C05-1C71-469D-8026-E992EA23DFB2}">
  <dimension ref="A3:B19"/>
  <sheetViews>
    <sheetView workbookViewId="0">
      <selection activeCell="F23" sqref="F23"/>
    </sheetView>
  </sheetViews>
  <sheetFormatPr defaultRowHeight="14.4" x14ac:dyDescent="0.3"/>
  <cols>
    <col min="1" max="1" width="12.5546875" bestFit="1" customWidth="1"/>
    <col min="2" max="2" width="20.109375" bestFit="1" customWidth="1"/>
  </cols>
  <sheetData>
    <row r="3" spans="1:2" x14ac:dyDescent="0.3">
      <c r="A3" s="3" t="s">
        <v>30</v>
      </c>
      <c r="B3" t="s">
        <v>38</v>
      </c>
    </row>
    <row r="4" spans="1:2" x14ac:dyDescent="0.3">
      <c r="A4" s="4" t="s">
        <v>36</v>
      </c>
      <c r="B4" s="6">
        <v>11171</v>
      </c>
    </row>
    <row r="5" spans="1:2" x14ac:dyDescent="0.3">
      <c r="A5" s="7" t="s">
        <v>39</v>
      </c>
      <c r="B5" s="6">
        <v>771</v>
      </c>
    </row>
    <row r="6" spans="1:2" x14ac:dyDescent="0.3">
      <c r="A6" s="7" t="s">
        <v>40</v>
      </c>
      <c r="B6" s="6">
        <v>3103</v>
      </c>
    </row>
    <row r="7" spans="1:2" x14ac:dyDescent="0.3">
      <c r="A7" s="7" t="s">
        <v>41</v>
      </c>
      <c r="B7" s="6">
        <v>4803</v>
      </c>
    </row>
    <row r="8" spans="1:2" x14ac:dyDescent="0.3">
      <c r="A8" s="7" t="s">
        <v>42</v>
      </c>
      <c r="B8" s="6">
        <v>2494</v>
      </c>
    </row>
    <row r="9" spans="1:2" x14ac:dyDescent="0.3">
      <c r="A9" s="4" t="s">
        <v>37</v>
      </c>
      <c r="B9" s="6">
        <v>23556</v>
      </c>
    </row>
    <row r="10" spans="1:2" x14ac:dyDescent="0.3">
      <c r="A10" s="7" t="s">
        <v>43</v>
      </c>
      <c r="B10" s="6">
        <v>3026</v>
      </c>
    </row>
    <row r="11" spans="1:2" x14ac:dyDescent="0.3">
      <c r="A11" s="7" t="s">
        <v>44</v>
      </c>
      <c r="B11" s="6">
        <v>4127</v>
      </c>
    </row>
    <row r="12" spans="1:2" x14ac:dyDescent="0.3">
      <c r="A12" s="7" t="s">
        <v>45</v>
      </c>
      <c r="B12" s="6">
        <v>3875</v>
      </c>
    </row>
    <row r="13" spans="1:2" x14ac:dyDescent="0.3">
      <c r="A13" s="7" t="s">
        <v>46</v>
      </c>
      <c r="B13" s="6">
        <v>1528</v>
      </c>
    </row>
    <row r="14" spans="1:2" x14ac:dyDescent="0.3">
      <c r="A14" s="7" t="s">
        <v>47</v>
      </c>
      <c r="B14" s="6">
        <v>1684</v>
      </c>
    </row>
    <row r="15" spans="1:2" x14ac:dyDescent="0.3">
      <c r="A15" s="7" t="s">
        <v>48</v>
      </c>
      <c r="B15" s="6">
        <v>3537</v>
      </c>
    </row>
    <row r="16" spans="1:2" x14ac:dyDescent="0.3">
      <c r="A16" s="7" t="s">
        <v>49</v>
      </c>
      <c r="B16" s="6">
        <v>1536</v>
      </c>
    </row>
    <row r="17" spans="1:2" x14ac:dyDescent="0.3">
      <c r="A17" s="7" t="s">
        <v>50</v>
      </c>
      <c r="B17" s="6">
        <v>2864</v>
      </c>
    </row>
    <row r="18" spans="1:2" x14ac:dyDescent="0.3">
      <c r="A18" s="7" t="s">
        <v>39</v>
      </c>
      <c r="B18" s="6">
        <v>1379</v>
      </c>
    </row>
    <row r="19" spans="1:2" x14ac:dyDescent="0.3">
      <c r="A19" s="4" t="s">
        <v>31</v>
      </c>
      <c r="B19" s="6">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67FED-C2E2-46EB-81FC-868A434F579F}">
  <dimension ref="A3:B8"/>
  <sheetViews>
    <sheetView topLeftCell="B1" workbookViewId="0">
      <selection activeCell="F22" sqref="F22"/>
    </sheetView>
  </sheetViews>
  <sheetFormatPr defaultRowHeight="14.4" x14ac:dyDescent="0.3"/>
  <cols>
    <col min="1" max="1" width="12.5546875" bestFit="1" customWidth="1"/>
    <col min="2" max="2" width="31.77734375" bestFit="1" customWidth="1"/>
  </cols>
  <sheetData>
    <row r="3" spans="1:2" x14ac:dyDescent="0.3">
      <c r="A3" s="3" t="s">
        <v>30</v>
      </c>
      <c r="B3" t="s">
        <v>51</v>
      </c>
    </row>
    <row r="4" spans="1:2" x14ac:dyDescent="0.3">
      <c r="A4" s="4" t="s">
        <v>10</v>
      </c>
      <c r="B4" s="2">
        <v>140.87387695413258</v>
      </c>
    </row>
    <row r="5" spans="1:2" x14ac:dyDescent="0.3">
      <c r="A5" s="4" t="s">
        <v>23</v>
      </c>
      <c r="B5" s="2">
        <v>108.368246516667</v>
      </c>
    </row>
    <row r="6" spans="1:2" x14ac:dyDescent="0.3">
      <c r="A6" s="4" t="s">
        <v>14</v>
      </c>
      <c r="B6" s="2">
        <v>180.4410334877862</v>
      </c>
    </row>
    <row r="7" spans="1:2" x14ac:dyDescent="0.3">
      <c r="A7" s="4" t="s">
        <v>17</v>
      </c>
      <c r="B7" s="2">
        <v>108.97659894637712</v>
      </c>
    </row>
    <row r="8" spans="1:2" x14ac:dyDescent="0.3">
      <c r="A8" s="4" t="s">
        <v>31</v>
      </c>
      <c r="B8" s="2">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5" workbookViewId="0"/>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2.88671875" customWidth="1"/>
    <col min="11" max="11" width="23.44140625" customWidth="1"/>
  </cols>
  <sheetData>
    <row r="1" spans="1:11" x14ac:dyDescent="0.3">
      <c r="A1" t="s">
        <v>0</v>
      </c>
      <c r="B1" t="s">
        <v>1</v>
      </c>
      <c r="C1" t="s">
        <v>2</v>
      </c>
      <c r="D1" t="s">
        <v>3</v>
      </c>
      <c r="E1" t="s">
        <v>4</v>
      </c>
      <c r="F1" t="s">
        <v>5</v>
      </c>
      <c r="G1" t="s">
        <v>6</v>
      </c>
      <c r="H1" t="s">
        <v>7</v>
      </c>
      <c r="I1" t="s">
        <v>29</v>
      </c>
      <c r="J1" t="s">
        <v>33</v>
      </c>
      <c r="K1" t="s">
        <v>34</v>
      </c>
    </row>
    <row r="2" spans="1:11" x14ac:dyDescent="0.3">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sortState xmlns:xlrd2="http://schemas.microsoft.com/office/spreadsheetml/2017/richdata2" ref="A2:K121">
      <sortCondition ref="A1:A121"/>
    </sortState>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E8B7C-99F8-4430-ADD3-6D017E2C95A7}">
  <dimension ref="A1:U7"/>
  <sheetViews>
    <sheetView showGridLines="0" tabSelected="1" zoomScale="42" workbookViewId="0">
      <selection activeCell="T26" sqref="T26"/>
    </sheetView>
  </sheetViews>
  <sheetFormatPr defaultRowHeight="14.4" x14ac:dyDescent="0.3"/>
  <sheetData>
    <row r="1" spans="1:21" x14ac:dyDescent="0.3">
      <c r="A1" s="9" t="s">
        <v>52</v>
      </c>
      <c r="B1" s="8"/>
      <c r="C1" s="8"/>
      <c r="D1" s="8"/>
      <c r="E1" s="8"/>
      <c r="F1" s="8"/>
      <c r="G1" s="8"/>
      <c r="H1" s="8"/>
      <c r="I1" s="8"/>
      <c r="J1" s="8"/>
      <c r="K1" s="8"/>
      <c r="L1" s="8"/>
      <c r="M1" s="8"/>
      <c r="N1" s="8"/>
      <c r="O1" s="8"/>
      <c r="P1" s="8"/>
      <c r="Q1" s="8"/>
      <c r="R1" s="8"/>
      <c r="S1" s="8"/>
      <c r="T1" s="8"/>
      <c r="U1" s="8"/>
    </row>
    <row r="2" spans="1:21" x14ac:dyDescent="0.3">
      <c r="A2" s="8"/>
      <c r="B2" s="8"/>
      <c r="C2" s="8"/>
      <c r="D2" s="8"/>
      <c r="E2" s="8"/>
      <c r="F2" s="8"/>
      <c r="G2" s="8"/>
      <c r="H2" s="8"/>
      <c r="I2" s="8"/>
      <c r="J2" s="8"/>
      <c r="K2" s="8"/>
      <c r="L2" s="8"/>
      <c r="M2" s="8"/>
      <c r="N2" s="8"/>
      <c r="O2" s="8"/>
      <c r="P2" s="8"/>
      <c r="Q2" s="8"/>
      <c r="R2" s="8"/>
      <c r="S2" s="8"/>
      <c r="T2" s="8"/>
      <c r="U2" s="8"/>
    </row>
    <row r="3" spans="1:21" x14ac:dyDescent="0.3">
      <c r="A3" s="8"/>
      <c r="B3" s="8"/>
      <c r="C3" s="8"/>
      <c r="D3" s="8"/>
      <c r="E3" s="8"/>
      <c r="F3" s="8"/>
      <c r="G3" s="8"/>
      <c r="H3" s="8"/>
      <c r="I3" s="8"/>
      <c r="J3" s="8"/>
      <c r="K3" s="8"/>
      <c r="L3" s="8"/>
      <c r="M3" s="8"/>
      <c r="N3" s="8"/>
      <c r="O3" s="8"/>
      <c r="P3" s="8"/>
      <c r="Q3" s="8"/>
      <c r="R3" s="8"/>
      <c r="S3" s="8"/>
      <c r="T3" s="8"/>
      <c r="U3" s="8"/>
    </row>
    <row r="4" spans="1:21" x14ac:dyDescent="0.3">
      <c r="A4" s="8"/>
      <c r="B4" s="8"/>
      <c r="C4" s="8"/>
      <c r="D4" s="8"/>
      <c r="E4" s="8"/>
      <c r="F4" s="8"/>
      <c r="G4" s="8"/>
      <c r="H4" s="8"/>
      <c r="I4" s="8"/>
      <c r="J4" s="8"/>
      <c r="K4" s="8"/>
      <c r="L4" s="8"/>
      <c r="M4" s="8"/>
      <c r="N4" s="8"/>
      <c r="O4" s="8"/>
      <c r="P4" s="8"/>
      <c r="Q4" s="8"/>
      <c r="R4" s="8"/>
      <c r="S4" s="8"/>
      <c r="T4" s="8"/>
      <c r="U4" s="8"/>
    </row>
    <row r="5" spans="1:21" x14ac:dyDescent="0.3">
      <c r="A5" s="8"/>
      <c r="B5" s="8"/>
      <c r="C5" s="8"/>
      <c r="D5" s="8"/>
      <c r="E5" s="8"/>
      <c r="F5" s="8"/>
      <c r="G5" s="8"/>
      <c r="H5" s="8"/>
      <c r="I5" s="8"/>
      <c r="J5" s="8"/>
      <c r="K5" s="8"/>
      <c r="L5" s="8"/>
      <c r="M5" s="8"/>
      <c r="N5" s="8"/>
      <c r="O5" s="8"/>
      <c r="P5" s="8"/>
      <c r="Q5" s="8"/>
      <c r="R5" s="8"/>
      <c r="S5" s="8"/>
      <c r="T5" s="8"/>
      <c r="U5" s="8"/>
    </row>
    <row r="6" spans="1:21" x14ac:dyDescent="0.3">
      <c r="A6" s="8"/>
      <c r="B6" s="8"/>
      <c r="C6" s="8"/>
      <c r="D6" s="8"/>
      <c r="E6" s="8"/>
      <c r="F6" s="8"/>
      <c r="G6" s="8"/>
      <c r="H6" s="8"/>
      <c r="I6" s="8"/>
      <c r="J6" s="8"/>
      <c r="K6" s="8"/>
      <c r="L6" s="8"/>
      <c r="M6" s="8"/>
      <c r="N6" s="8"/>
      <c r="O6" s="8"/>
      <c r="P6" s="8"/>
      <c r="Q6" s="8"/>
      <c r="R6" s="8"/>
      <c r="S6" s="8"/>
      <c r="T6" s="8"/>
      <c r="U6" s="8"/>
    </row>
    <row r="7" spans="1:21" x14ac:dyDescent="0.3">
      <c r="A7" s="8"/>
      <c r="B7" s="8"/>
      <c r="C7" s="8"/>
      <c r="D7" s="8"/>
      <c r="E7" s="8"/>
      <c r="F7" s="8"/>
      <c r="G7" s="8"/>
      <c r="H7" s="8"/>
      <c r="I7" s="8"/>
      <c r="J7" s="8"/>
      <c r="K7" s="8"/>
      <c r="L7" s="8"/>
      <c r="M7" s="8"/>
      <c r="N7" s="8"/>
      <c r="O7" s="8"/>
      <c r="P7" s="8"/>
      <c r="Q7" s="8"/>
      <c r="R7" s="8"/>
      <c r="S7" s="8"/>
      <c r="T7" s="8"/>
      <c r="U7" s="8"/>
    </row>
  </sheetData>
  <mergeCells count="1">
    <mergeCell ref="A1:U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Production 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Vedant Mankar</cp:lastModifiedBy>
  <cp:lastPrinted>2026-07-24T15:33:17Z</cp:lastPrinted>
  <dcterms:created xsi:type="dcterms:W3CDTF">2015-06-05T18:17:20Z</dcterms:created>
  <dcterms:modified xsi:type="dcterms:W3CDTF">2026-07-26T08:03:12Z</dcterms:modified>
</cp:coreProperties>
</file>